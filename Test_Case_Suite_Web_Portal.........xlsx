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ashim Ali\Desktop\"/>
    </mc:Choice>
  </mc:AlternateContent>
  <xr:revisionPtr revIDLastSave="0" documentId="8_{5F6686E0-2646-40AC-A5EE-0356FB2B2807}" xr6:coauthVersionLast="47" xr6:coauthVersionMax="47" xr10:uidLastSave="{00000000-0000-0000-0000-000000000000}"/>
  <bookViews>
    <workbookView xWindow="-120" yWindow="-120" windowWidth="20730" windowHeight="11040" tabRatio="500" xr2:uid="{00000000-000D-0000-FFFF-FFFF00000000}"/>
  </bookViews>
  <sheets>
    <sheet name="Test Cases" sheetId="1" r:id="rId1"/>
    <sheet name="Summary" sheetId="2" r:id="rId2"/>
    <sheet name="Not Applicable" sheetId="3" r:id="rId3"/>
  </sheets>
  <definedNames>
    <definedName name="_xlnm._FilterDatabase" localSheetId="0" hidden="1">'Test Cases'!$A$2:$L$45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7" i="2" l="1"/>
  <c r="B17" i="2"/>
  <c r="C16" i="2"/>
  <c r="B16" i="2"/>
  <c r="C15" i="2"/>
  <c r="B15" i="2"/>
  <c r="C14" i="2"/>
  <c r="B14" i="2"/>
  <c r="C13" i="2"/>
  <c r="B13" i="2"/>
  <c r="C12" i="2"/>
  <c r="B12" i="2"/>
  <c r="B8" i="2"/>
  <c r="B7" i="2"/>
  <c r="B6" i="2"/>
  <c r="B5" i="2"/>
  <c r="B9" i="2" l="1"/>
  <c r="C8" i="2" s="1"/>
  <c r="C6" i="2" l="1"/>
  <c r="C7" i="2"/>
  <c r="C5" i="2"/>
  <c r="C9" i="2" l="1"/>
</calcChain>
</file>

<file path=xl/sharedStrings.xml><?xml version="1.0" encoding="utf-8"?>
<sst xmlns="http://schemas.openxmlformats.org/spreadsheetml/2006/main" count="556" uniqueCount="331">
  <si>
    <t>Test Case Suite - SauceDemo Web Portal (Arrowstack Virtual Internship - Task 1)</t>
  </si>
  <si>
    <t>TC ID</t>
  </si>
  <si>
    <t>Module</t>
  </si>
  <si>
    <t>Test Case Title</t>
  </si>
  <si>
    <t>Test Type</t>
  </si>
  <si>
    <t>Priority</t>
  </si>
  <si>
    <t>Preconditions</t>
  </si>
  <si>
    <t>Test Steps</t>
  </si>
  <si>
    <t>Test Data</t>
  </si>
  <si>
    <t>Expected Result</t>
  </si>
  <si>
    <t>Actual Result</t>
  </si>
  <si>
    <t>Status</t>
  </si>
  <si>
    <t>Remarks</t>
  </si>
  <si>
    <t>TC_001</t>
  </si>
  <si>
    <t>Login</t>
  </si>
  <si>
    <t>Login with valid credentials</t>
  </si>
  <si>
    <t>Positive</t>
  </si>
  <si>
    <t>High</t>
  </si>
  <si>
    <t>Login page https://www.saucedemo.com is open</t>
  </si>
  <si>
    <t>1. Enter valid username
2. Enter valid password
3. Click Login</t>
  </si>
  <si>
    <t>Username: standard_user
Password: secret_sauce</t>
  </si>
  <si>
    <t>User is taken to the Products page (inventory.html)</t>
  </si>
  <si>
    <t>Not Run</t>
  </si>
  <si>
    <t>TC_002</t>
  </si>
  <si>
    <t>Login with wrong password</t>
  </si>
  <si>
    <t>Negative</t>
  </si>
  <si>
    <t>Login page is open</t>
  </si>
  <si>
    <t>1. Enter valid username
2. Enter wrong password
3. Click Login</t>
  </si>
  <si>
    <t>Username: standard_user
Password: wrong123</t>
  </si>
  <si>
    <t>Error 'Username and password do not match any user in this service' is shown; user stays on login page</t>
  </si>
  <si>
    <t>TC_003</t>
  </si>
  <si>
    <t>Login with wrong username</t>
  </si>
  <si>
    <t>1. Enter invalid username
2. Enter valid password
3. Click Login</t>
  </si>
  <si>
    <t>Username: wronguser
Password: secret_sauce</t>
  </si>
  <si>
    <t>Same 'do not match' error message is shown</t>
  </si>
  <si>
    <t>TC_004</t>
  </si>
  <si>
    <t>Login with both fields empty</t>
  </si>
  <si>
    <t>1. Leave both fields blank
2. Click Login</t>
  </si>
  <si>
    <t>Username: (blank)
Password: (blank)</t>
  </si>
  <si>
    <t>Error 'Username is required' is shown</t>
  </si>
  <si>
    <t>TC_005</t>
  </si>
  <si>
    <t>Login with empty password</t>
  </si>
  <si>
    <t>1. Enter username
2. Leave password blank
3. Click Login</t>
  </si>
  <si>
    <t>Username: standard_user
Password: (blank)</t>
  </si>
  <si>
    <t>Error 'Password is required' is shown</t>
  </si>
  <si>
    <t>TC_006</t>
  </si>
  <si>
    <t>Login with empty username</t>
  </si>
  <si>
    <t>Medium</t>
  </si>
  <si>
    <t>1. Leave username blank
2. Enter password
3. Click Login</t>
  </si>
  <si>
    <t>Username: (blank)
Password: secret_sauce</t>
  </si>
  <si>
    <t>TC_007</t>
  </si>
  <si>
    <t>Login with locked-out user</t>
  </si>
  <si>
    <t>1. Enter locked_out_user and password
2. Click Login</t>
  </si>
  <si>
    <t>Username: locked_out_user
Password: secret_sauce</t>
  </si>
  <si>
    <t>Error 'Sorry, this user has been locked out' is shown; no login</t>
  </si>
  <si>
    <t>TC_008</t>
  </si>
  <si>
    <t>Password field is masked</t>
  </si>
  <si>
    <t>UI</t>
  </si>
  <si>
    <t>1. Type a password in the password field</t>
  </si>
  <si>
    <t>Password: secret_sauce</t>
  </si>
  <si>
    <t>Characters appear as dots, not plain text</t>
  </si>
  <si>
    <t>TC_009</t>
  </si>
  <si>
    <t>Username is case sensitive</t>
  </si>
  <si>
    <t>1. Enter username in capital letters
2. Enter valid password
3. Click Login</t>
  </si>
  <si>
    <t>Username: STANDARD_USER
Password: secret_sauce</t>
  </si>
  <si>
    <t>Login fails with 'do not match' error</t>
  </si>
  <si>
    <t>TC_010</t>
  </si>
  <si>
    <t>SQL injection input in username</t>
  </si>
  <si>
    <t>Security</t>
  </si>
  <si>
    <t>1. Enter SQL string in username
2. Enter any password
3. Click Login</t>
  </si>
  <si>
    <t>Username: ' OR '1'='1
Password: anything</t>
  </si>
  <si>
    <t>Login is rejected with normal error message; no system error is shown</t>
  </si>
  <si>
    <t>TC_011</t>
  </si>
  <si>
    <t>Username with leading/trailing spaces</t>
  </si>
  <si>
    <t>Boundary</t>
  </si>
  <si>
    <t>Low</t>
  </si>
  <si>
    <t>1. Enter username with spaces around it
2. Enter valid password
3. Click Login</t>
  </si>
  <si>
    <t>Username:  standard_user 
Password: secret_sauce</t>
  </si>
  <si>
    <t>Login is rejected or handled consistently (record actual behavior)</t>
  </si>
  <si>
    <t>TC_012</t>
  </si>
  <si>
    <t>Login using Enter key</t>
  </si>
  <si>
    <t>Usability</t>
  </si>
  <si>
    <t>1. Enter valid credentials
2. Press Enter key</t>
  </si>
  <si>
    <t>Form is submitted and user is logged in</t>
  </si>
  <si>
    <t>TC_013</t>
  </si>
  <si>
    <t>Login with performance_glitch_user</t>
  </si>
  <si>
    <t>Functional</t>
  </si>
  <si>
    <t>1. Enter performance_glitch_user and password
2. Click Login</t>
  </si>
  <si>
    <t>Username: performance_glitch_user
Password: secret_sauce</t>
  </si>
  <si>
    <t>Login succeeds; note if page takes noticeably longer to load</t>
  </si>
  <si>
    <t>TC_014</t>
  </si>
  <si>
    <t>Close error message with X button</t>
  </si>
  <si>
    <t>An error message is displayed</t>
  </si>
  <si>
    <t>1. Trigger a login error
2. Click the X on the error message</t>
  </si>
  <si>
    <t>Username: (blank)</t>
  </si>
  <si>
    <t>Error message disappears</t>
  </si>
  <si>
    <t>TC_015</t>
  </si>
  <si>
    <t>Products</t>
  </si>
  <si>
    <t>Products page displays all items</t>
  </si>
  <si>
    <t>User is logged in as standard_user</t>
  </si>
  <si>
    <t>1. Login
2. Observe Products page</t>
  </si>
  <si>
    <t>6 products are shown, each with image, name, description, price and Add to cart button</t>
  </si>
  <si>
    <t>TC_016</t>
  </si>
  <si>
    <t>Default sort order</t>
  </si>
  <si>
    <t>User is on Products page</t>
  </si>
  <si>
    <t>1. Check sort dropdown without changing it</t>
  </si>
  <si>
    <t>N/A</t>
  </si>
  <si>
    <t>Default option is 'Name (A to Z)' and products are in that order</t>
  </si>
  <si>
    <t>TC_017</t>
  </si>
  <si>
    <t>Sort by Name (A to Z)</t>
  </si>
  <si>
    <t>1. Select 'Name (A to Z)' from dropdown</t>
  </si>
  <si>
    <t>Products are listed alphabetically from A to Z</t>
  </si>
  <si>
    <t>TC_018</t>
  </si>
  <si>
    <t>Sort by Name (Z to A)</t>
  </si>
  <si>
    <t>1. Select 'Name (Z to A)' from dropdown</t>
  </si>
  <si>
    <t>Products are listed alphabetically from Z to A</t>
  </si>
  <si>
    <t>TC_019</t>
  </si>
  <si>
    <t>Sort by Price (low to high)</t>
  </si>
  <si>
    <t>1. Select 'Price (low to high)'</t>
  </si>
  <si>
    <t>Products are in ascending price order</t>
  </si>
  <si>
    <t>TC_020</t>
  </si>
  <si>
    <t>Sort by Price (high to low)</t>
  </si>
  <si>
    <t>1. Select 'Price (high to low)'</t>
  </si>
  <si>
    <t>Products are in descending price order</t>
  </si>
  <si>
    <t>TC_021</t>
  </si>
  <si>
    <t>Open product details page</t>
  </si>
  <si>
    <t>1. Click on a product name</t>
  </si>
  <si>
    <t>Product: Sauce Labs Backpack</t>
  </si>
  <si>
    <t>Details page opens with the same name, description and price as the list</t>
  </si>
  <si>
    <t>TC_022</t>
  </si>
  <si>
    <t>Back to Products from details page</t>
  </si>
  <si>
    <t>User is on a product details page</t>
  </si>
  <si>
    <t>1. Click 'Back to products'</t>
  </si>
  <si>
    <t>User returns to Products page</t>
  </si>
  <si>
    <t>TC_023</t>
  </si>
  <si>
    <t>Product images with problem_user</t>
  </si>
  <si>
    <t>Login as problem_user</t>
  </si>
  <si>
    <t>1. Login as problem_user
2. Check product images</t>
  </si>
  <si>
    <t>Username: problem_user
Password: secret_sauce</t>
  </si>
  <si>
    <t>Each product shows its own correct image (record any wrong/duplicate images as a bug)</t>
  </si>
  <si>
    <t>TC_024</t>
  </si>
  <si>
    <t>Menu / Navigation</t>
  </si>
  <si>
    <t>Open menu shows all options</t>
  </si>
  <si>
    <t>User is logged in</t>
  </si>
  <si>
    <t>1. Click the menu (hamburger) icon</t>
  </si>
  <si>
    <t>Menu shows All Items, About, Logout and Reset App State</t>
  </si>
  <si>
    <t>TC_025</t>
  </si>
  <si>
    <t>Close menu with X button</t>
  </si>
  <si>
    <t>Menu is open</t>
  </si>
  <si>
    <t>1. Click the X button in the menu</t>
  </si>
  <si>
    <t>Menu closes</t>
  </si>
  <si>
    <t>TC_026</t>
  </si>
  <si>
    <t>All Items link</t>
  </si>
  <si>
    <t>User is on cart or details page</t>
  </si>
  <si>
    <t>1. Open menu
2. Click All Items</t>
  </si>
  <si>
    <t>User is taken to the Products page</t>
  </si>
  <si>
    <t>TC_027</t>
  </si>
  <si>
    <t>About link</t>
  </si>
  <si>
    <t>1. Open menu
2. Click About</t>
  </si>
  <si>
    <t>Sauce Labs website opens</t>
  </si>
  <si>
    <t>TC_028</t>
  </si>
  <si>
    <t>Reset App State clears cart</t>
  </si>
  <si>
    <t>Cart has at least 1 item</t>
  </si>
  <si>
    <t>1. Open menu
2. Click Reset App State</t>
  </si>
  <si>
    <t>Cart badge disappears and items are removed</t>
  </si>
  <si>
    <t>TC_029</t>
  </si>
  <si>
    <t>Cart</t>
  </si>
  <si>
    <t>Add a single item to cart</t>
  </si>
  <si>
    <t>1. Click Add to cart on one product</t>
  </si>
  <si>
    <t>Button changes to Remove and cart badge shows 1</t>
  </si>
  <si>
    <t>TC_030</t>
  </si>
  <si>
    <t>Add multiple items to cart</t>
  </si>
  <si>
    <t>1. Add 3 different products</t>
  </si>
  <si>
    <t>3 products</t>
  </si>
  <si>
    <t>Cart badge shows 3</t>
  </si>
  <si>
    <t>TC_031</t>
  </si>
  <si>
    <t>Remove item from Products page</t>
  </si>
  <si>
    <t>1 item added to cart</t>
  </si>
  <si>
    <t>1. Click Remove on the product</t>
  </si>
  <si>
    <t>Button changes back to Add to cart; badge count decreases or disappears</t>
  </si>
  <si>
    <t>TC_032</t>
  </si>
  <si>
    <t>Cart page shows added items</t>
  </si>
  <si>
    <t>Items are added to cart</t>
  </si>
  <si>
    <t>1. Click the cart icon</t>
  </si>
  <si>
    <t>Cart lists each item with correct name, price and quantity</t>
  </si>
  <si>
    <t>TC_033</t>
  </si>
  <si>
    <t>Remove item from cart page</t>
  </si>
  <si>
    <t>Items are in cart</t>
  </si>
  <si>
    <t>1. Open cart
2. Click Remove on an item</t>
  </si>
  <si>
    <t>Item is removed from list and badge count updates</t>
  </si>
  <si>
    <t>TC_034</t>
  </si>
  <si>
    <t>Empty cart view</t>
  </si>
  <si>
    <t>No items in cart</t>
  </si>
  <si>
    <t>Cart page opens with no items; Continue Shopping button works</t>
  </si>
  <si>
    <t>TC_035</t>
  </si>
  <si>
    <t>Continue Shopping button</t>
  </si>
  <si>
    <t>User is on cart page</t>
  </si>
  <si>
    <t>1. Click Continue Shopping</t>
  </si>
  <si>
    <t>User returns to Products page and cart items stay</t>
  </si>
  <si>
    <t>TC_036</t>
  </si>
  <si>
    <t>Logout</t>
  </si>
  <si>
    <t>Logout from portal</t>
  </si>
  <si>
    <t>1. Open menu
2. Click Logout</t>
  </si>
  <si>
    <t>User is taken to the login page</t>
  </si>
  <si>
    <t>TC_037</t>
  </si>
  <si>
    <t>Back button after logout</t>
  </si>
  <si>
    <t>User just logged out</t>
  </si>
  <si>
    <t>1. Click the browser Back button</t>
  </si>
  <si>
    <t>Products page is not accessible; login page or error appears</t>
  </si>
  <si>
    <t>TC_038</t>
  </si>
  <si>
    <t>Direct URL access without login</t>
  </si>
  <si>
    <t>User is logged out</t>
  </si>
  <si>
    <t>1. Paste the inventory.html URL directly in browser</t>
  </si>
  <si>
    <t>https://www.saucedemo.com/inventory.html</t>
  </si>
  <si>
    <t>Login page shows error saying user can only access this page when logged in</t>
  </si>
  <si>
    <t>TC_039</t>
  </si>
  <si>
    <t>Login again after logout</t>
  </si>
  <si>
    <t>User has logged out</t>
  </si>
  <si>
    <t>1. Login again with valid credentials</t>
  </si>
  <si>
    <t>Login works normally</t>
  </si>
  <si>
    <t>TC_040</t>
  </si>
  <si>
    <t>UI/Compatibility</t>
  </si>
  <si>
    <t>Layout on Chrome</t>
  </si>
  <si>
    <t>Compatibility</t>
  </si>
  <si>
    <t>Portal is open in Chrome</t>
  </si>
  <si>
    <t>1. Open login, products, cart pages</t>
  </si>
  <si>
    <t>Latest Chrome</t>
  </si>
  <si>
    <t>Pages display correctly with no overlap or broken layout</t>
  </si>
  <si>
    <t>TC_041</t>
  </si>
  <si>
    <t>Layout on Firefox</t>
  </si>
  <si>
    <t>Portal is open in Firefox</t>
  </si>
  <si>
    <t>Latest Firefox</t>
  </si>
  <si>
    <t>TC_042</t>
  </si>
  <si>
    <t>Responsive layout on mobile view</t>
  </si>
  <si>
    <t>Portal is open with window resized / DevTools mobile mode</t>
  </si>
  <si>
    <t>1. Set width to 375px
2. Check login, products and cart</t>
  </si>
  <si>
    <t>Mobile 375x667</t>
  </si>
  <si>
    <t>Layout adjusts, no horizontal scroll, buttons are clickable</t>
  </si>
  <si>
    <t>TC_043</t>
  </si>
  <si>
    <t>Spelling and alignment check</t>
  </si>
  <si>
    <t>Portal is open</t>
  </si>
  <si>
    <t>1. Review labels, headings and buttons on all pages</t>
  </si>
  <si>
    <t>No spelling mistakes; elements are aligned consistently</t>
  </si>
  <si>
    <t>Test Execution Summary</t>
  </si>
  <si>
    <t>Update the Status column (K) on the 'Test Cases' sheet; counts below update automatically.</t>
  </si>
  <si>
    <t>Count</t>
  </si>
  <si>
    <t>% of Total</t>
  </si>
  <si>
    <t>Pass</t>
  </si>
  <si>
    <t>Fail</t>
  </si>
  <si>
    <t>Blocked</t>
  </si>
  <si>
    <t>Total</t>
  </si>
  <si>
    <t>Total Cases</t>
  </si>
  <si>
    <t>Passed</t>
  </si>
  <si>
    <t>Reason</t>
  </si>
  <si>
    <t>Registration</t>
  </si>
  <si>
    <t>Not available on SauceDemo (no sign-up page).</t>
  </si>
  <si>
    <t>Forgot Password</t>
  </si>
  <si>
    <t>Not available on SauceDemo.</t>
  </si>
  <si>
    <t>Profile</t>
  </si>
  <si>
    <t>Not available on SauceDemo (no profile page).</t>
  </si>
  <si>
    <t>Login successful, Products page opened with 6 items.”</t>
  </si>
  <si>
    <t>Entered invalid username “wrong username” with valid password. Error message “Epic sadface: Username and password do not match any user in this service” appeared. User stayed on login page</t>
  </si>
  <si>
    <t>Error text slightly clipped inside red box (same as TC002). Screenshot TC003.</t>
  </si>
  <si>
    <t>Left both fields empty and clicked Login. Error message “Epic sadface: Username is required” appeared. Both fields were highlighted in red. User stayed on login page.</t>
  </si>
  <si>
    <t>Screenshot TC004.</t>
  </si>
  <si>
    <t>Entered username “standard_user” and left password empty. Clicked Login. Error message “Epic sadface: Password is required” appeared. Password field was highlighted in red. User stayed on login page</t>
  </si>
  <si>
    <t>Screenshot TC005</t>
  </si>
  <si>
    <t>Left username empty and entered password “secret_sauce”. Clicked Login. Error message “Epic sadface: Username is required” appeared. User stayed on login page.</t>
  </si>
  <si>
    <t>Error message “Epic sadface: Sorry, this user has been locked out.” appeared. User was not logged in and stayed on login page.</t>
  </si>
  <si>
    <t>Screenshot TC006</t>
  </si>
  <si>
    <t>Screenshot TC007</t>
  </si>
  <si>
    <t>Typed text in the password field. Characters were displayed as dots (masked), not as plain text.</t>
  </si>
  <si>
    <t>Screenshot TC008</t>
  </si>
  <si>
    <t>Entered SQL injection string “‘ OR ‘1’='1” in username with password “anything”. Clicked Login. Normal error message “Epic sadface: Username and password do not match any user in this service” appeared. Login was rejected, and no technical or system error was shown</t>
  </si>
  <si>
    <t>Entered username in capital letters “STANDARD_USER” with valid password “secret_sauce”. Clicked Login. Error message “Epic sadface: Username and password do not match any user in this service” appeared. Login failed, so the username is case sensitive.</t>
  </si>
  <si>
    <t>Error text slightly clipped inside red box. Screenshot TC009</t>
  </si>
  <si>
    <t>Error text slightly clipped inside red box. Screenshot TC010.</t>
  </si>
  <si>
    <t xml:space="preserve">  Entered username with extra spaces around it “ standard_user “ and valid password “secret_sauce”. Clicked Login. Error message “Epic sadface: Username and password do not match any user in this service” appeared. Login was rejected, so the portal does not trim spaces from the username.</t>
  </si>
  <si>
    <t>Error text slightly clipped inside red box. Screenshot TC01</t>
  </si>
  <si>
    <t>Entered valid username “standard_user” and password “secret_sauce”. Pressed the Enter key instead of clicking Login. Login succeeded and the Products page opened</t>
  </si>
  <si>
    <t xml:space="preserve">Screenshot TC012 </t>
  </si>
  <si>
    <t>Entered username “performance_glitch_user” and password “secret_sauce”. Clicked Login. Login succeeded and the Products page opened after approximately 1 second</t>
  </si>
  <si>
    <t>No noticeable delay observed during this test. Screenshot TC013.</t>
  </si>
  <si>
    <t>Left both fields empty and clicked Login. Error message “Epic sadface: Username is required” appeared. Clicked the X button on the error message. The error message disappeared.</t>
  </si>
  <si>
    <t>Rrmarks</t>
  </si>
  <si>
    <t>Logged in with “standard_user”. The Products page displayed 6 products. Each product showed an image, name, description, price and an “Add to cart” button.</t>
  </si>
  <si>
    <t>Observed the Products page without changing the sort option. The dropdown showed “Name (A to Z)” by default. Products were listed in alphabetical order, starting with “Sauce Labs Backpack” and ending with “Test.allTheThings() T-Shirt (Red)”.</t>
  </si>
  <si>
    <t>Selected “Name (Z to A)” from the sort dropdown. Products were listed in reverse alphabetical order, starting with “Test.allTheThings() T-Shirt (Red)” and ending with “Sauce Labs Backpack</t>
  </si>
  <si>
    <t>yes products are listed from Ato z</t>
  </si>
  <si>
    <t>Selected “Price (low to high)” from the sort dropdown. Products were listed in ascending price order, starting with the lowest price ($7.99) and ending with the highest price ($49.99</t>
  </si>
  <si>
    <t>Selected “Price (high to low)” from the sort dropdown. Products were listed in descending price order, starting with the highest price ($49.99) and ending with the lowest price ($7.99).</t>
  </si>
  <si>
    <t>screenshot T020</t>
  </si>
  <si>
    <t>Clicked on the product name “Sauce Labs Backpack” on the Products page. The product details page opened. The name, description and price ($29.99) matched the details shown on the Products page.</t>
  </si>
  <si>
    <t>screenshot T21</t>
  </si>
  <si>
    <t>Opened a product details page and clicked “Back to products”. User was returned to the Products page</t>
  </si>
  <si>
    <t>screenshot T22</t>
  </si>
  <si>
    <t>Logged in as “problem_user”. On the Products page, the product images did not match the products. Products showed incorrect images instead of their own correct images.</t>
  </si>
  <si>
    <t>Logged in as “standard_user” and clicked the menu icon. The menu opened and displayed five options: All Items, Dynamic Catalog (with a dropdown arrow), About, Logout and Reset App State. All four expected options were present.</t>
  </si>
  <si>
    <t>Paas</t>
  </si>
  <si>
    <t>Opened the menu and clicked the X button at the top of the menu. The menu closed and the Products page was displayed normally</t>
  </si>
  <si>
    <t>Screenshot T25</t>
  </si>
  <si>
    <t>Opened a product details page, then opened the menu and clicked “All Items”. User was taken to the Products page showing all products</t>
  </si>
  <si>
    <t>Opened the menu and clicked “About”. The Sauce Labs website (saucelabs.com) opened.</t>
  </si>
  <si>
    <t>remarks</t>
  </si>
  <si>
    <t>Added items to the cart (badge showed __). Opened the menu and clicked “Reset App State”. The cart badge disappeared and the cart page was empty.</t>
  </si>
  <si>
    <t>Clicked “Add to cart” on “Sauce Labs Backpack”. The button changed to “Remove” and the cart icon showed a badge with the number 1</t>
  </si>
  <si>
    <t>Added three different products to the cart (Sauce Labs Backpack, Sauce Labs Bike Light, Sauce Labs Bolt T-Shirt). The badge on the cart icon increased from 1 to 2 to 3, and all three buttons changed to “Remove”.</t>
  </si>
  <si>
    <t>Cart had 2 items. Clicked “Remove” on one product on the Products page. The button changed back to “Add to cart” and the cart badge decreased from 2 to 1. After removing the last item, the cart badge disappeared</t>
  </si>
  <si>
    <t>Added two products to the cart and opened the cart page. Both items were listed with the correct name, price and quantity (1), matching the Products page</t>
  </si>
  <si>
    <t>Opened the cart page with 2 items. Clicked “Remove” on one item. The item was removed from the list, the other item remained, and the cart badge changed from 2 to 1.</t>
  </si>
  <si>
    <t>Opened the cart page with no items added. The cart page opened and showed no items. Clicked “Continue Shopping” and the Products page opened</t>
  </si>
  <si>
    <t>ss tc32</t>
  </si>
  <si>
    <t>ss tc33</t>
  </si>
  <si>
    <t>ss tc34</t>
  </si>
  <si>
    <t>Opened the cart page with 2 items and clicked “Continue Shopping”. The Products page opened. The cart badge still showed 2 and the added products still showed the “Remove” button</t>
  </si>
  <si>
    <t>ss tc35</t>
  </si>
  <si>
    <t>Logged in as “standard_user”, opened the menu and clicked “Logout”. The user was taken to the login pag</t>
  </si>
  <si>
    <t>ss tc36</t>
  </si>
  <si>
    <t>Logged in, then logged out using the menu. Clicked the browser Back button. The Products page was not displayed; the user remained on the login page (or: an error message appeared)</t>
  </si>
  <si>
    <t>ss tc 37</t>
  </si>
  <si>
    <t>While logged out, entered the Products page URL (https://www.saucedemo.com/inventory.html) directly in the address bar. The Products page was not displayed. The user was redirected to the login page and an error message appeared</t>
  </si>
  <si>
    <t>Logged out and returned to the login page. Entered valid username “standard_user” and password “secret_sauce” and clicked Login. Login succeeded and the Products page opened with the product list displayed normally</t>
  </si>
  <si>
    <t>Opened the Login, Products and Cart pages in Mozilla Firefox (maximized window). All pages displayed correctly with no overlapping elements or broken layout.</t>
  </si>
  <si>
    <t>ss tc 41</t>
  </si>
  <si>
    <t>Opened the Login, Products and Cart pages using Chrome DevTools mobile view (375 x 667). The layout adjusted to the smaller screen, no horizontal scrolling was needed, and all buttons were visible and clickable</t>
  </si>
  <si>
    <t>ss tc 42</t>
  </si>
  <si>
    <t>Reviewed the labels, headings, buttons and descriptions on the Login, Products, Cart and Menu pages. No spelling mistakes were found and the elements were aligned consistently</t>
  </si>
  <si>
    <t>ss tc 43</t>
  </si>
  <si>
    <t>Entered valid username “standard_user” and wrong password “wrong123”. Clicked Login. Error message “Epic sadface: Username and password do not match any user in this service” appeared. User stayed on the login page.</t>
  </si>
  <si>
    <t>screenshot TC001</t>
  </si>
  <si>
    <t>screenshot TC002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</si>
</sst>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FFFFFF"/>
      <name val="Arial"/>
      <charset val="1"/>
    </font>
    <font>
      <b/>
      <sz val="11"/>
      <color rgb="FFFFFFFF"/>
      <name val="Arial"/>
      <charset val="1"/>
    </font>
    <font>
      <sz val="10"/>
      <name val="Arial"/>
      <charset val="1"/>
    </font>
    <font>
      <b/>
      <sz val="14"/>
      <name val="Arial"/>
      <charset val="1"/>
    </font>
    <font>
      <i/>
      <sz val="9"/>
      <name val="Arial"/>
      <charset val="1"/>
    </font>
    <font>
      <b/>
      <sz val="11"/>
      <name val="Arial"/>
      <charset val="1"/>
    </font>
    <font>
      <u/>
      <sz val="11"/>
      <color theme="10"/>
      <name val="Calibri"/>
      <family val="2"/>
      <charset val="1"/>
    </font>
  </fonts>
  <fills count="4">
    <fill>
      <patternFill patternType="none"/>
    </fill>
    <fill>
      <patternFill patternType="gray125"/>
    </fill>
    <fill>
      <patternFill patternType="solid">
        <fgColor rgb="FF1F3864"/>
        <bgColor rgb="FF333333"/>
      </patternFill>
    </fill>
    <fill>
      <patternFill patternType="solid">
        <fgColor rgb="FF2E5597"/>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4" fillId="0" borderId="0" xfId="0" applyFont="1"/>
    <xf numFmtId="0" fontId="5" fillId="0" borderId="0" xfId="0" applyFont="1"/>
    <xf numFmtId="0" fontId="2" fillId="3" borderId="1" xfId="0" applyFont="1" applyFill="1" applyBorder="1"/>
    <xf numFmtId="0" fontId="3" fillId="0" borderId="1" xfId="0" applyFont="1" applyBorder="1"/>
    <xf numFmtId="164" fontId="3" fillId="0" borderId="1" xfId="0" applyNumberFormat="1" applyFont="1" applyBorder="1"/>
    <xf numFmtId="0" fontId="6" fillId="0" borderId="1" xfId="0" applyFont="1" applyBorder="1"/>
    <xf numFmtId="164" fontId="6" fillId="0" borderId="1" xfId="0" applyNumberFormat="1" applyFont="1" applyBorder="1"/>
    <xf numFmtId="0" fontId="2" fillId="3" borderId="0" xfId="0" applyFont="1" applyFill="1"/>
    <xf numFmtId="0" fontId="3" fillId="0" borderId="0" xfId="0" applyFont="1" applyAlignment="1">
      <alignment vertical="top" wrapText="1"/>
    </xf>
    <xf numFmtId="0" fontId="0" fillId="0" borderId="0" xfId="0" applyAlignment="1">
      <alignment horizontal="left" vertical="center" indent="1"/>
    </xf>
    <xf numFmtId="0" fontId="7" fillId="0" borderId="0" xfId="1"/>
    <xf numFmtId="0" fontId="1" fillId="2" borderId="0" xfId="0" applyFont="1" applyFill="1" applyBorder="1" applyAlignment="1">
      <alignment horizontal="center" vertical="center"/>
    </xf>
  </cellXfs>
  <cellStyles count="2">
    <cellStyle name="Hyperlink" xfId="1" builtinId="8"/>
    <cellStyle name="Normal" xfId="0" builtinId="0"/>
  </cellStyles>
  <dxfs count="3">
    <dxf>
      <font>
        <color rgb="FF9C5700"/>
        <name val="Arial"/>
        <charset val="1"/>
      </font>
      <fill>
        <patternFill>
          <bgColor rgb="FFFFEB9C"/>
        </patternFill>
      </fill>
    </dxf>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2E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5"/>
  <sheetViews>
    <sheetView tabSelected="1" zoomScaleNormal="100" workbookViewId="0">
      <pane xSplit="3" ySplit="2" topLeftCell="J3" activePane="bottomRight" state="frozen"/>
      <selection pane="topRight" activeCell="D1" sqref="D1"/>
      <selection pane="bottomLeft" activeCell="A3" sqref="A3"/>
      <selection pane="bottomRight" activeCell="L4" sqref="L4"/>
    </sheetView>
  </sheetViews>
  <sheetFormatPr defaultColWidth="8.7109375" defaultRowHeight="15" x14ac:dyDescent="0.25"/>
  <cols>
    <col min="1" max="1" width="10" customWidth="1"/>
    <col min="2" max="2" width="16" customWidth="1"/>
    <col min="3" max="3" width="36" customWidth="1"/>
    <col min="4" max="4" width="13" customWidth="1"/>
    <col min="5" max="5" width="10" customWidth="1"/>
    <col min="6" max="6" width="28" customWidth="1"/>
    <col min="7" max="7" width="44" customWidth="1"/>
    <col min="8" max="8" width="28" customWidth="1"/>
    <col min="9" max="9" width="44" customWidth="1"/>
    <col min="10" max="10" width="30" customWidth="1"/>
    <col min="11" max="11" width="12" customWidth="1"/>
    <col min="12" max="12" width="24" customWidth="1"/>
  </cols>
  <sheetData>
    <row r="1" spans="1:12" ht="27.75" customHeight="1" x14ac:dyDescent="0.25">
      <c r="A1" s="15" t="s">
        <v>0</v>
      </c>
      <c r="B1" s="15"/>
      <c r="C1" s="15"/>
      <c r="D1" s="15"/>
      <c r="E1" s="15"/>
      <c r="F1" s="15"/>
      <c r="G1" s="15"/>
      <c r="H1" s="15"/>
      <c r="I1" s="15"/>
      <c r="J1" s="15"/>
      <c r="K1" s="15"/>
      <c r="L1" s="15"/>
    </row>
    <row r="2" spans="1:12" x14ac:dyDescent="0.25">
      <c r="A2" s="1" t="s">
        <v>1</v>
      </c>
      <c r="B2" s="1" t="s">
        <v>2</v>
      </c>
      <c r="C2" s="1" t="s">
        <v>3</v>
      </c>
      <c r="D2" s="1" t="s">
        <v>4</v>
      </c>
      <c r="E2" s="1" t="s">
        <v>5</v>
      </c>
      <c r="F2" s="1" t="s">
        <v>6</v>
      </c>
      <c r="G2" s="1" t="s">
        <v>7</v>
      </c>
      <c r="H2" s="1" t="s">
        <v>8</v>
      </c>
      <c r="I2" s="1" t="s">
        <v>9</v>
      </c>
      <c r="J2" s="1" t="s">
        <v>10</v>
      </c>
      <c r="K2" s="1" t="s">
        <v>11</v>
      </c>
      <c r="L2" s="1" t="s">
        <v>12</v>
      </c>
    </row>
    <row r="3" spans="1:12" ht="38.25" x14ac:dyDescent="0.25">
      <c r="A3" s="2" t="s">
        <v>13</v>
      </c>
      <c r="B3" s="3" t="s">
        <v>14</v>
      </c>
      <c r="C3" s="3" t="s">
        <v>15</v>
      </c>
      <c r="D3" s="2" t="s">
        <v>16</v>
      </c>
      <c r="E3" s="2" t="s">
        <v>17</v>
      </c>
      <c r="F3" s="3" t="s">
        <v>18</v>
      </c>
      <c r="G3" s="3" t="s">
        <v>19</v>
      </c>
      <c r="H3" s="3" t="s">
        <v>20</v>
      </c>
      <c r="I3" s="3" t="s">
        <v>21</v>
      </c>
      <c r="J3" t="s">
        <v>260</v>
      </c>
      <c r="K3" s="2" t="s">
        <v>247</v>
      </c>
      <c r="L3" s="3" t="s">
        <v>329</v>
      </c>
    </row>
    <row r="4" spans="1:12" ht="38.25" x14ac:dyDescent="0.25">
      <c r="A4" s="2" t="s">
        <v>23</v>
      </c>
      <c r="B4" s="3" t="s">
        <v>14</v>
      </c>
      <c r="C4" s="3" t="s">
        <v>24</v>
      </c>
      <c r="D4" s="2" t="s">
        <v>25</v>
      </c>
      <c r="E4" s="2" t="s">
        <v>17</v>
      </c>
      <c r="F4" s="3" t="s">
        <v>26</v>
      </c>
      <c r="G4" s="3" t="s">
        <v>27</v>
      </c>
      <c r="H4" s="3" t="s">
        <v>28</v>
      </c>
      <c r="I4" s="3" t="s">
        <v>29</v>
      </c>
      <c r="J4" t="s">
        <v>328</v>
      </c>
      <c r="K4" s="2" t="s">
        <v>247</v>
      </c>
      <c r="L4" s="3" t="s">
        <v>330</v>
      </c>
    </row>
    <row r="5" spans="1:12" ht="38.25" x14ac:dyDescent="0.25">
      <c r="A5" s="2" t="s">
        <v>30</v>
      </c>
      <c r="B5" s="3" t="s">
        <v>14</v>
      </c>
      <c r="C5" s="3" t="s">
        <v>31</v>
      </c>
      <c r="D5" s="2" t="s">
        <v>25</v>
      </c>
      <c r="E5" s="2" t="s">
        <v>17</v>
      </c>
      <c r="F5" s="3" t="s">
        <v>26</v>
      </c>
      <c r="G5" s="3" t="s">
        <v>32</v>
      </c>
      <c r="H5" s="3" t="s">
        <v>33</v>
      </c>
      <c r="I5" s="3" t="s">
        <v>34</v>
      </c>
      <c r="J5" t="s">
        <v>261</v>
      </c>
      <c r="K5" s="2" t="s">
        <v>247</v>
      </c>
      <c r="L5" s="13" t="s">
        <v>262</v>
      </c>
    </row>
    <row r="6" spans="1:12" ht="25.5" x14ac:dyDescent="0.25">
      <c r="A6" s="2" t="s">
        <v>35</v>
      </c>
      <c r="B6" s="3" t="s">
        <v>14</v>
      </c>
      <c r="C6" s="3" t="s">
        <v>36</v>
      </c>
      <c r="D6" s="2" t="s">
        <v>25</v>
      </c>
      <c r="E6" s="2" t="s">
        <v>17</v>
      </c>
      <c r="F6" s="3" t="s">
        <v>26</v>
      </c>
      <c r="G6" s="3" t="s">
        <v>37</v>
      </c>
      <c r="H6" s="3" t="s">
        <v>38</v>
      </c>
      <c r="I6" s="3" t="s">
        <v>39</v>
      </c>
      <c r="J6" t="s">
        <v>263</v>
      </c>
      <c r="K6" s="2" t="s">
        <v>247</v>
      </c>
      <c r="L6" t="s">
        <v>264</v>
      </c>
    </row>
    <row r="7" spans="1:12" ht="38.25" x14ac:dyDescent="0.25">
      <c r="A7" s="2" t="s">
        <v>40</v>
      </c>
      <c r="B7" s="3" t="s">
        <v>14</v>
      </c>
      <c r="C7" s="3" t="s">
        <v>41</v>
      </c>
      <c r="D7" s="2" t="s">
        <v>25</v>
      </c>
      <c r="E7" s="2" t="s">
        <v>17</v>
      </c>
      <c r="F7" s="3" t="s">
        <v>26</v>
      </c>
      <c r="G7" s="3" t="s">
        <v>42</v>
      </c>
      <c r="H7" s="3" t="s">
        <v>43</v>
      </c>
      <c r="I7" s="3" t="s">
        <v>44</v>
      </c>
      <c r="J7" t="s">
        <v>265</v>
      </c>
      <c r="K7" s="2" t="s">
        <v>247</v>
      </c>
      <c r="L7" t="s">
        <v>266</v>
      </c>
    </row>
    <row r="8" spans="1:12" ht="38.25" x14ac:dyDescent="0.25">
      <c r="A8" s="2" t="s">
        <v>45</v>
      </c>
      <c r="B8" s="3" t="s">
        <v>14</v>
      </c>
      <c r="C8" s="3" t="s">
        <v>46</v>
      </c>
      <c r="D8" s="2" t="s">
        <v>25</v>
      </c>
      <c r="E8" s="2" t="s">
        <v>47</v>
      </c>
      <c r="F8" s="3" t="s">
        <v>26</v>
      </c>
      <c r="G8" s="3" t="s">
        <v>48</v>
      </c>
      <c r="H8" s="3" t="s">
        <v>49</v>
      </c>
      <c r="I8" s="3" t="s">
        <v>39</v>
      </c>
      <c r="J8" t="s">
        <v>267</v>
      </c>
      <c r="K8" s="2" t="s">
        <v>247</v>
      </c>
      <c r="L8" s="3" t="s">
        <v>269</v>
      </c>
    </row>
    <row r="9" spans="1:12" ht="25.5" x14ac:dyDescent="0.25">
      <c r="A9" s="2" t="s">
        <v>50</v>
      </c>
      <c r="B9" s="3" t="s">
        <v>14</v>
      </c>
      <c r="C9" s="3" t="s">
        <v>51</v>
      </c>
      <c r="D9" s="2" t="s">
        <v>25</v>
      </c>
      <c r="E9" s="2" t="s">
        <v>17</v>
      </c>
      <c r="F9" s="3" t="s">
        <v>26</v>
      </c>
      <c r="G9" s="3" t="s">
        <v>52</v>
      </c>
      <c r="H9" s="3" t="s">
        <v>53</v>
      </c>
      <c r="I9" s="3" t="s">
        <v>54</v>
      </c>
      <c r="J9" t="s">
        <v>268</v>
      </c>
      <c r="K9" s="2" t="s">
        <v>247</v>
      </c>
      <c r="L9" s="3" t="s">
        <v>270</v>
      </c>
    </row>
    <row r="10" spans="1:12" x14ac:dyDescent="0.25">
      <c r="A10" s="2" t="s">
        <v>55</v>
      </c>
      <c r="B10" s="3" t="s">
        <v>14</v>
      </c>
      <c r="C10" s="3" t="s">
        <v>56</v>
      </c>
      <c r="D10" s="2" t="s">
        <v>57</v>
      </c>
      <c r="E10" s="2" t="s">
        <v>47</v>
      </c>
      <c r="F10" s="3" t="s">
        <v>26</v>
      </c>
      <c r="G10" s="3" t="s">
        <v>58</v>
      </c>
      <c r="H10" s="3" t="s">
        <v>59</v>
      </c>
      <c r="I10" s="3" t="s">
        <v>60</v>
      </c>
      <c r="J10" t="s">
        <v>271</v>
      </c>
      <c r="K10" s="2" t="s">
        <v>247</v>
      </c>
      <c r="L10" s="3" t="s">
        <v>272</v>
      </c>
    </row>
    <row r="11" spans="1:12" ht="38.25" x14ac:dyDescent="0.25">
      <c r="A11" s="2" t="s">
        <v>61</v>
      </c>
      <c r="B11" s="3" t="s">
        <v>14</v>
      </c>
      <c r="C11" s="3" t="s">
        <v>62</v>
      </c>
      <c r="D11" s="2" t="s">
        <v>25</v>
      </c>
      <c r="E11" s="2" t="s">
        <v>47</v>
      </c>
      <c r="F11" s="3" t="s">
        <v>26</v>
      </c>
      <c r="G11" s="3" t="s">
        <v>63</v>
      </c>
      <c r="H11" s="3" t="s">
        <v>64</v>
      </c>
      <c r="I11" s="3" t="s">
        <v>65</v>
      </c>
      <c r="J11" t="s">
        <v>274</v>
      </c>
      <c r="K11" s="2" t="s">
        <v>247</v>
      </c>
      <c r="L11" t="s">
        <v>275</v>
      </c>
    </row>
    <row r="12" spans="1:12" ht="38.25" x14ac:dyDescent="0.25">
      <c r="A12" s="2" t="s">
        <v>66</v>
      </c>
      <c r="B12" s="3" t="s">
        <v>14</v>
      </c>
      <c r="C12" s="3" t="s">
        <v>67</v>
      </c>
      <c r="D12" s="2" t="s">
        <v>68</v>
      </c>
      <c r="E12" s="2" t="s">
        <v>47</v>
      </c>
      <c r="F12" s="3" t="s">
        <v>26</v>
      </c>
      <c r="G12" s="3" t="s">
        <v>69</v>
      </c>
      <c r="H12" s="3" t="s">
        <v>70</v>
      </c>
      <c r="I12" s="3" t="s">
        <v>71</v>
      </c>
      <c r="J12" t="s">
        <v>273</v>
      </c>
      <c r="K12" s="2" t="s">
        <v>247</v>
      </c>
      <c r="L12" s="13" t="s">
        <v>276</v>
      </c>
    </row>
    <row r="13" spans="1:12" ht="127.5" x14ac:dyDescent="0.25">
      <c r="A13" s="2" t="s">
        <v>72</v>
      </c>
      <c r="B13" s="3" t="s">
        <v>14</v>
      </c>
      <c r="C13" s="3" t="s">
        <v>73</v>
      </c>
      <c r="D13" s="2" t="s">
        <v>74</v>
      </c>
      <c r="E13" s="2" t="s">
        <v>75</v>
      </c>
      <c r="F13" s="3" t="s">
        <v>26</v>
      </c>
      <c r="G13" s="3" t="s">
        <v>76</v>
      </c>
      <c r="H13" s="3" t="s">
        <v>77</v>
      </c>
      <c r="I13" s="3" t="s">
        <v>78</v>
      </c>
      <c r="J13" s="3" t="s">
        <v>277</v>
      </c>
      <c r="K13" s="2" t="s">
        <v>247</v>
      </c>
      <c r="L13" t="s">
        <v>278</v>
      </c>
    </row>
    <row r="14" spans="1:12" ht="25.5" x14ac:dyDescent="0.25">
      <c r="A14" s="2" t="s">
        <v>79</v>
      </c>
      <c r="B14" s="3" t="s">
        <v>14</v>
      </c>
      <c r="C14" s="3" t="s">
        <v>80</v>
      </c>
      <c r="D14" s="2" t="s">
        <v>81</v>
      </c>
      <c r="E14" s="2" t="s">
        <v>75</v>
      </c>
      <c r="F14" s="3" t="s">
        <v>26</v>
      </c>
      <c r="G14" s="3" t="s">
        <v>82</v>
      </c>
      <c r="H14" s="3" t="s">
        <v>20</v>
      </c>
      <c r="I14" s="3" t="s">
        <v>83</v>
      </c>
      <c r="J14" t="s">
        <v>279</v>
      </c>
      <c r="K14" s="2" t="s">
        <v>247</v>
      </c>
      <c r="L14" t="s">
        <v>280</v>
      </c>
    </row>
    <row r="15" spans="1:12" ht="38.25" x14ac:dyDescent="0.25">
      <c r="A15" s="2" t="s">
        <v>84</v>
      </c>
      <c r="B15" s="3" t="s">
        <v>14</v>
      </c>
      <c r="C15" s="3" t="s">
        <v>85</v>
      </c>
      <c r="D15" s="2" t="s">
        <v>86</v>
      </c>
      <c r="E15" s="2" t="s">
        <v>75</v>
      </c>
      <c r="F15" s="3" t="s">
        <v>26</v>
      </c>
      <c r="G15" s="3" t="s">
        <v>87</v>
      </c>
      <c r="H15" s="3" t="s">
        <v>88</v>
      </c>
      <c r="I15" s="3" t="s">
        <v>89</v>
      </c>
      <c r="J15" t="s">
        <v>281</v>
      </c>
      <c r="K15" s="2" t="s">
        <v>247</v>
      </c>
      <c r="L15" t="s">
        <v>282</v>
      </c>
    </row>
    <row r="16" spans="1:12" ht="25.5" x14ac:dyDescent="0.25">
      <c r="A16" s="2" t="s">
        <v>90</v>
      </c>
      <c r="B16" s="3" t="s">
        <v>14</v>
      </c>
      <c r="C16" s="3" t="s">
        <v>91</v>
      </c>
      <c r="D16" s="2" t="s">
        <v>57</v>
      </c>
      <c r="E16" s="2" t="s">
        <v>75</v>
      </c>
      <c r="F16" s="3" t="s">
        <v>92</v>
      </c>
      <c r="G16" s="3" t="s">
        <v>93</v>
      </c>
      <c r="H16" s="3" t="s">
        <v>94</v>
      </c>
      <c r="I16" s="3" t="s">
        <v>95</v>
      </c>
      <c r="J16" t="s">
        <v>283</v>
      </c>
      <c r="K16" s="2" t="s">
        <v>247</v>
      </c>
      <c r="L16" s="3" t="s">
        <v>284</v>
      </c>
    </row>
    <row r="17" spans="1:12" ht="25.5" x14ac:dyDescent="0.25">
      <c r="A17" s="2" t="s">
        <v>96</v>
      </c>
      <c r="B17" s="3" t="s">
        <v>97</v>
      </c>
      <c r="C17" s="3" t="s">
        <v>98</v>
      </c>
      <c r="D17" s="2" t="s">
        <v>16</v>
      </c>
      <c r="E17" s="2" t="s">
        <v>17</v>
      </c>
      <c r="F17" s="3" t="s">
        <v>99</v>
      </c>
      <c r="G17" s="3" t="s">
        <v>100</v>
      </c>
      <c r="H17" s="3" t="s">
        <v>20</v>
      </c>
      <c r="I17" s="3" t="s">
        <v>101</v>
      </c>
      <c r="J17" t="s">
        <v>285</v>
      </c>
      <c r="K17" s="2" t="s">
        <v>247</v>
      </c>
      <c r="L17" s="3" t="s">
        <v>12</v>
      </c>
    </row>
    <row r="18" spans="1:12" ht="25.5" x14ac:dyDescent="0.25">
      <c r="A18" s="2" t="s">
        <v>102</v>
      </c>
      <c r="B18" s="3" t="s">
        <v>97</v>
      </c>
      <c r="C18" s="3" t="s">
        <v>103</v>
      </c>
      <c r="D18" s="2" t="s">
        <v>86</v>
      </c>
      <c r="E18" s="2" t="s">
        <v>75</v>
      </c>
      <c r="F18" s="3" t="s">
        <v>104</v>
      </c>
      <c r="G18" s="3" t="s">
        <v>105</v>
      </c>
      <c r="H18" s="3" t="s">
        <v>106</v>
      </c>
      <c r="I18" s="3" t="s">
        <v>107</v>
      </c>
      <c r="J18" t="s">
        <v>286</v>
      </c>
      <c r="K18" s="2" t="s">
        <v>247</v>
      </c>
      <c r="L18" s="3" t="s">
        <v>12</v>
      </c>
    </row>
    <row r="19" spans="1:12" x14ac:dyDescent="0.25">
      <c r="A19" s="2" t="s">
        <v>108</v>
      </c>
      <c r="B19" s="3" t="s">
        <v>97</v>
      </c>
      <c r="C19" s="3" t="s">
        <v>109</v>
      </c>
      <c r="D19" s="2" t="s">
        <v>86</v>
      </c>
      <c r="E19" s="2" t="s">
        <v>47</v>
      </c>
      <c r="F19" s="3" t="s">
        <v>104</v>
      </c>
      <c r="G19" s="3" t="s">
        <v>110</v>
      </c>
      <c r="H19" s="3" t="s">
        <v>106</v>
      </c>
      <c r="I19" s="3" t="s">
        <v>111</v>
      </c>
      <c r="J19" s="3" t="s">
        <v>288</v>
      </c>
      <c r="K19" s="2" t="s">
        <v>247</v>
      </c>
      <c r="L19" s="3" t="s">
        <v>12</v>
      </c>
    </row>
    <row r="20" spans="1:12" x14ac:dyDescent="0.25">
      <c r="A20" s="2" t="s">
        <v>112</v>
      </c>
      <c r="B20" s="3" t="s">
        <v>97</v>
      </c>
      <c r="C20" s="3" t="s">
        <v>113</v>
      </c>
      <c r="D20" s="2" t="s">
        <v>86</v>
      </c>
      <c r="E20" s="2" t="s">
        <v>47</v>
      </c>
      <c r="F20" s="3" t="s">
        <v>104</v>
      </c>
      <c r="G20" s="3" t="s">
        <v>114</v>
      </c>
      <c r="H20" s="3" t="s">
        <v>106</v>
      </c>
      <c r="I20" s="3" t="s">
        <v>115</v>
      </c>
      <c r="J20" t="s">
        <v>287</v>
      </c>
      <c r="K20" s="2" t="s">
        <v>247</v>
      </c>
      <c r="L20" s="3" t="s">
        <v>12</v>
      </c>
    </row>
    <row r="21" spans="1:12" x14ac:dyDescent="0.25">
      <c r="A21" s="2" t="s">
        <v>116</v>
      </c>
      <c r="B21" s="3" t="s">
        <v>97</v>
      </c>
      <c r="C21" s="3" t="s">
        <v>117</v>
      </c>
      <c r="D21" s="2" t="s">
        <v>86</v>
      </c>
      <c r="E21" s="2" t="s">
        <v>47</v>
      </c>
      <c r="F21" s="3" t="s">
        <v>104</v>
      </c>
      <c r="G21" s="3" t="s">
        <v>118</v>
      </c>
      <c r="H21" s="3" t="s">
        <v>106</v>
      </c>
      <c r="I21" s="3" t="s">
        <v>119</v>
      </c>
      <c r="J21" t="s">
        <v>289</v>
      </c>
      <c r="K21" s="2" t="s">
        <v>247</v>
      </c>
      <c r="L21" s="3" t="s">
        <v>12</v>
      </c>
    </row>
    <row r="22" spans="1:12" x14ac:dyDescent="0.25">
      <c r="A22" s="2" t="s">
        <v>120</v>
      </c>
      <c r="B22" s="3" t="s">
        <v>97</v>
      </c>
      <c r="C22" s="3" t="s">
        <v>121</v>
      </c>
      <c r="D22" s="2" t="s">
        <v>86</v>
      </c>
      <c r="E22" s="2" t="s">
        <v>47</v>
      </c>
      <c r="F22" s="3" t="s">
        <v>104</v>
      </c>
      <c r="G22" s="3" t="s">
        <v>122</v>
      </c>
      <c r="H22" s="3" t="s">
        <v>106</v>
      </c>
      <c r="I22" s="3" t="s">
        <v>123</v>
      </c>
      <c r="J22" t="s">
        <v>290</v>
      </c>
      <c r="K22" s="2" t="s">
        <v>247</v>
      </c>
      <c r="L22" s="3" t="s">
        <v>291</v>
      </c>
    </row>
    <row r="23" spans="1:12" ht="25.5" x14ac:dyDescent="0.25">
      <c r="A23" s="2" t="s">
        <v>124</v>
      </c>
      <c r="B23" s="3" t="s">
        <v>97</v>
      </c>
      <c r="C23" s="3" t="s">
        <v>125</v>
      </c>
      <c r="D23" s="2" t="s">
        <v>86</v>
      </c>
      <c r="E23" s="2" t="s">
        <v>17</v>
      </c>
      <c r="F23" s="3" t="s">
        <v>104</v>
      </c>
      <c r="G23" s="3" t="s">
        <v>126</v>
      </c>
      <c r="H23" s="3" t="s">
        <v>127</v>
      </c>
      <c r="I23" s="3" t="s">
        <v>128</v>
      </c>
      <c r="J23" s="13" t="s">
        <v>292</v>
      </c>
      <c r="K23" s="2" t="s">
        <v>247</v>
      </c>
      <c r="L23" s="3" t="s">
        <v>293</v>
      </c>
    </row>
    <row r="24" spans="1:12" ht="25.5" x14ac:dyDescent="0.25">
      <c r="A24" s="2" t="s">
        <v>129</v>
      </c>
      <c r="B24" s="3" t="s">
        <v>97</v>
      </c>
      <c r="C24" s="3" t="s">
        <v>130</v>
      </c>
      <c r="D24" s="2" t="s">
        <v>86</v>
      </c>
      <c r="E24" s="2" t="s">
        <v>75</v>
      </c>
      <c r="F24" s="3" t="s">
        <v>131</v>
      </c>
      <c r="G24" s="3" t="s">
        <v>132</v>
      </c>
      <c r="H24" s="3" t="s">
        <v>106</v>
      </c>
      <c r="I24" s="3" t="s">
        <v>133</v>
      </c>
      <c r="J24" t="s">
        <v>294</v>
      </c>
      <c r="K24" s="2" t="s">
        <v>247</v>
      </c>
      <c r="L24" s="3" t="s">
        <v>295</v>
      </c>
    </row>
    <row r="25" spans="1:12" ht="25.5" x14ac:dyDescent="0.25">
      <c r="A25" s="2" t="s">
        <v>134</v>
      </c>
      <c r="B25" s="3" t="s">
        <v>97</v>
      </c>
      <c r="C25" s="3" t="s">
        <v>135</v>
      </c>
      <c r="D25" s="2" t="s">
        <v>25</v>
      </c>
      <c r="E25" s="2" t="s">
        <v>47</v>
      </c>
      <c r="F25" s="3" t="s">
        <v>136</v>
      </c>
      <c r="G25" s="3" t="s">
        <v>137</v>
      </c>
      <c r="H25" s="3" t="s">
        <v>138</v>
      </c>
      <c r="I25" s="3" t="s">
        <v>139</v>
      </c>
      <c r="J25" t="s">
        <v>296</v>
      </c>
      <c r="K25" s="2" t="s">
        <v>248</v>
      </c>
      <c r="L25" s="3" t="s">
        <v>12</v>
      </c>
    </row>
    <row r="26" spans="1:12" ht="25.5" x14ac:dyDescent="0.25">
      <c r="A26" s="2" t="s">
        <v>140</v>
      </c>
      <c r="B26" s="3" t="s">
        <v>141</v>
      </c>
      <c r="C26" s="3" t="s">
        <v>142</v>
      </c>
      <c r="D26" s="2" t="s">
        <v>86</v>
      </c>
      <c r="E26" s="2" t="s">
        <v>17</v>
      </c>
      <c r="F26" s="3" t="s">
        <v>143</v>
      </c>
      <c r="G26" s="3" t="s">
        <v>144</v>
      </c>
      <c r="H26" s="3" t="s">
        <v>106</v>
      </c>
      <c r="I26" s="3" t="s">
        <v>145</v>
      </c>
      <c r="J26" t="s">
        <v>297</v>
      </c>
      <c r="K26" s="2" t="s">
        <v>298</v>
      </c>
      <c r="L26" s="3" t="s">
        <v>12</v>
      </c>
    </row>
    <row r="27" spans="1:12" x14ac:dyDescent="0.25">
      <c r="A27" s="2" t="s">
        <v>146</v>
      </c>
      <c r="B27" s="3" t="s">
        <v>141</v>
      </c>
      <c r="C27" s="3" t="s">
        <v>147</v>
      </c>
      <c r="D27" s="2" t="s">
        <v>57</v>
      </c>
      <c r="E27" s="2" t="s">
        <v>75</v>
      </c>
      <c r="F27" s="3" t="s">
        <v>148</v>
      </c>
      <c r="G27" s="3" t="s">
        <v>149</v>
      </c>
      <c r="H27" s="3" t="s">
        <v>106</v>
      </c>
      <c r="I27" s="3" t="s">
        <v>150</v>
      </c>
      <c r="J27" t="s">
        <v>299</v>
      </c>
      <c r="K27" s="2" t="s">
        <v>247</v>
      </c>
      <c r="L27" s="3" t="s">
        <v>300</v>
      </c>
    </row>
    <row r="28" spans="1:12" ht="25.5" x14ac:dyDescent="0.25">
      <c r="A28" s="2" t="s">
        <v>151</v>
      </c>
      <c r="B28" s="3" t="s">
        <v>141</v>
      </c>
      <c r="C28" s="3" t="s">
        <v>152</v>
      </c>
      <c r="D28" s="2" t="s">
        <v>86</v>
      </c>
      <c r="E28" s="2" t="s">
        <v>47</v>
      </c>
      <c r="F28" s="3" t="s">
        <v>153</v>
      </c>
      <c r="G28" s="3" t="s">
        <v>154</v>
      </c>
      <c r="H28" s="3" t="s">
        <v>106</v>
      </c>
      <c r="I28" s="3" t="s">
        <v>155</v>
      </c>
      <c r="J28" t="s">
        <v>301</v>
      </c>
      <c r="K28" s="2" t="s">
        <v>247</v>
      </c>
      <c r="L28" s="3" t="s">
        <v>303</v>
      </c>
    </row>
    <row r="29" spans="1:12" ht="25.5" x14ac:dyDescent="0.25">
      <c r="A29" s="2" t="s">
        <v>156</v>
      </c>
      <c r="B29" s="3" t="s">
        <v>141</v>
      </c>
      <c r="C29" s="3" t="s">
        <v>157</v>
      </c>
      <c r="D29" s="2" t="s">
        <v>86</v>
      </c>
      <c r="E29" s="2" t="s">
        <v>75</v>
      </c>
      <c r="F29" s="3" t="s">
        <v>143</v>
      </c>
      <c r="G29" s="3" t="s">
        <v>158</v>
      </c>
      <c r="H29" s="3" t="s">
        <v>106</v>
      </c>
      <c r="I29" s="3" t="s">
        <v>159</v>
      </c>
      <c r="J29" s="13" t="s">
        <v>302</v>
      </c>
      <c r="K29" s="2" t="s">
        <v>247</v>
      </c>
      <c r="L29" s="3" t="s">
        <v>12</v>
      </c>
    </row>
    <row r="30" spans="1:12" ht="25.5" x14ac:dyDescent="0.25">
      <c r="A30" s="2" t="s">
        <v>160</v>
      </c>
      <c r="B30" s="3" t="s">
        <v>141</v>
      </c>
      <c r="C30" s="3" t="s">
        <v>161</v>
      </c>
      <c r="D30" s="2" t="s">
        <v>86</v>
      </c>
      <c r="E30" s="2" t="s">
        <v>47</v>
      </c>
      <c r="F30" s="3" t="s">
        <v>162</v>
      </c>
      <c r="G30" s="3" t="s">
        <v>163</v>
      </c>
      <c r="H30" s="3" t="s">
        <v>106</v>
      </c>
      <c r="I30" s="3" t="s">
        <v>164</v>
      </c>
      <c r="J30" t="s">
        <v>304</v>
      </c>
      <c r="K30" s="2" t="s">
        <v>247</v>
      </c>
      <c r="L30" s="3" t="s">
        <v>303</v>
      </c>
    </row>
    <row r="31" spans="1:12" ht="25.5" x14ac:dyDescent="0.25">
      <c r="A31" s="2" t="s">
        <v>165</v>
      </c>
      <c r="B31" s="3" t="s">
        <v>166</v>
      </c>
      <c r="C31" s="3" t="s">
        <v>167</v>
      </c>
      <c r="D31" s="2" t="s">
        <v>16</v>
      </c>
      <c r="E31" s="2" t="s">
        <v>17</v>
      </c>
      <c r="F31" s="3" t="s">
        <v>104</v>
      </c>
      <c r="G31" s="3" t="s">
        <v>168</v>
      </c>
      <c r="H31" s="3" t="s">
        <v>127</v>
      </c>
      <c r="I31" s="3" t="s">
        <v>169</v>
      </c>
      <c r="J31" t="s">
        <v>305</v>
      </c>
      <c r="K31" s="2" t="s">
        <v>247</v>
      </c>
      <c r="L31" s="3" t="s">
        <v>303</v>
      </c>
    </row>
    <row r="32" spans="1:12" x14ac:dyDescent="0.25">
      <c r="A32" s="2" t="s">
        <v>170</v>
      </c>
      <c r="B32" s="3" t="s">
        <v>166</v>
      </c>
      <c r="C32" s="3" t="s">
        <v>171</v>
      </c>
      <c r="D32" s="2" t="s">
        <v>16</v>
      </c>
      <c r="E32" s="2" t="s">
        <v>17</v>
      </c>
      <c r="F32" s="3" t="s">
        <v>104</v>
      </c>
      <c r="G32" s="3" t="s">
        <v>172</v>
      </c>
      <c r="H32" s="3" t="s">
        <v>173</v>
      </c>
      <c r="I32" s="3" t="s">
        <v>174</v>
      </c>
      <c r="J32" t="s">
        <v>306</v>
      </c>
      <c r="K32" s="2" t="s">
        <v>247</v>
      </c>
      <c r="L32" s="3" t="s">
        <v>303</v>
      </c>
    </row>
    <row r="33" spans="1:12" ht="25.5" x14ac:dyDescent="0.25">
      <c r="A33" s="2" t="s">
        <v>175</v>
      </c>
      <c r="B33" s="3" t="s">
        <v>166</v>
      </c>
      <c r="C33" s="3" t="s">
        <v>176</v>
      </c>
      <c r="D33" s="2" t="s">
        <v>86</v>
      </c>
      <c r="E33" s="2" t="s">
        <v>47</v>
      </c>
      <c r="F33" s="3" t="s">
        <v>177</v>
      </c>
      <c r="G33" s="3" t="s">
        <v>178</v>
      </c>
      <c r="H33" s="3" t="s">
        <v>106</v>
      </c>
      <c r="I33" s="3" t="s">
        <v>179</v>
      </c>
      <c r="J33" t="s">
        <v>307</v>
      </c>
      <c r="K33" s="2" t="s">
        <v>247</v>
      </c>
      <c r="L33" s="3" t="s">
        <v>303</v>
      </c>
    </row>
    <row r="34" spans="1:12" ht="25.5" x14ac:dyDescent="0.25">
      <c r="A34" s="2" t="s">
        <v>180</v>
      </c>
      <c r="B34" s="3" t="s">
        <v>166</v>
      </c>
      <c r="C34" s="3" t="s">
        <v>181</v>
      </c>
      <c r="D34" s="2" t="s">
        <v>86</v>
      </c>
      <c r="E34" s="2" t="s">
        <v>17</v>
      </c>
      <c r="F34" s="3" t="s">
        <v>182</v>
      </c>
      <c r="G34" s="3" t="s">
        <v>183</v>
      </c>
      <c r="H34" s="3" t="s">
        <v>106</v>
      </c>
      <c r="I34" s="3" t="s">
        <v>184</v>
      </c>
      <c r="J34" t="s">
        <v>308</v>
      </c>
      <c r="K34" s="2" t="s">
        <v>247</v>
      </c>
      <c r="L34" s="3" t="s">
        <v>311</v>
      </c>
    </row>
    <row r="35" spans="1:12" ht="25.5" x14ac:dyDescent="0.25">
      <c r="A35" s="2" t="s">
        <v>185</v>
      </c>
      <c r="B35" s="3" t="s">
        <v>166</v>
      </c>
      <c r="C35" s="3" t="s">
        <v>186</v>
      </c>
      <c r="D35" s="2" t="s">
        <v>86</v>
      </c>
      <c r="E35" s="2" t="s">
        <v>17</v>
      </c>
      <c r="F35" s="3" t="s">
        <v>187</v>
      </c>
      <c r="G35" s="3" t="s">
        <v>188</v>
      </c>
      <c r="H35" s="3" t="s">
        <v>106</v>
      </c>
      <c r="I35" s="3" t="s">
        <v>189</v>
      </c>
      <c r="J35" t="s">
        <v>309</v>
      </c>
      <c r="K35" s="2" t="s">
        <v>247</v>
      </c>
      <c r="L35" s="3" t="s">
        <v>312</v>
      </c>
    </row>
    <row r="36" spans="1:12" ht="25.5" x14ac:dyDescent="0.25">
      <c r="A36" s="2" t="s">
        <v>190</v>
      </c>
      <c r="B36" s="3" t="s">
        <v>166</v>
      </c>
      <c r="C36" s="3" t="s">
        <v>191</v>
      </c>
      <c r="D36" s="2" t="s">
        <v>25</v>
      </c>
      <c r="E36" s="2" t="s">
        <v>75</v>
      </c>
      <c r="F36" s="3" t="s">
        <v>192</v>
      </c>
      <c r="G36" s="3" t="s">
        <v>183</v>
      </c>
      <c r="H36" s="3" t="s">
        <v>106</v>
      </c>
      <c r="I36" s="3" t="s">
        <v>193</v>
      </c>
      <c r="J36" t="s">
        <v>310</v>
      </c>
      <c r="K36" s="2" t="s">
        <v>247</v>
      </c>
      <c r="L36" s="3" t="s">
        <v>313</v>
      </c>
    </row>
    <row r="37" spans="1:12" x14ac:dyDescent="0.25">
      <c r="A37" s="2" t="s">
        <v>194</v>
      </c>
      <c r="B37" s="3" t="s">
        <v>166</v>
      </c>
      <c r="C37" s="3" t="s">
        <v>195</v>
      </c>
      <c r="D37" s="2" t="s">
        <v>86</v>
      </c>
      <c r="E37" s="2" t="s">
        <v>75</v>
      </c>
      <c r="F37" s="3" t="s">
        <v>196</v>
      </c>
      <c r="G37" s="3" t="s">
        <v>197</v>
      </c>
      <c r="H37" s="3" t="s">
        <v>106</v>
      </c>
      <c r="I37" s="3" t="s">
        <v>198</v>
      </c>
      <c r="J37" t="s">
        <v>314</v>
      </c>
      <c r="K37" s="2" t="s">
        <v>247</v>
      </c>
      <c r="L37" s="3" t="s">
        <v>315</v>
      </c>
    </row>
    <row r="38" spans="1:12" ht="25.5" x14ac:dyDescent="0.25">
      <c r="A38" s="2" t="s">
        <v>199</v>
      </c>
      <c r="B38" s="3" t="s">
        <v>200</v>
      </c>
      <c r="C38" s="3" t="s">
        <v>201</v>
      </c>
      <c r="D38" s="2" t="s">
        <v>16</v>
      </c>
      <c r="E38" s="2" t="s">
        <v>17</v>
      </c>
      <c r="F38" s="3" t="s">
        <v>143</v>
      </c>
      <c r="G38" s="3" t="s">
        <v>202</v>
      </c>
      <c r="H38" s="3" t="s">
        <v>106</v>
      </c>
      <c r="I38" s="3" t="s">
        <v>203</v>
      </c>
      <c r="J38" t="s">
        <v>316</v>
      </c>
      <c r="K38" s="2" t="s">
        <v>247</v>
      </c>
      <c r="L38" s="3" t="s">
        <v>317</v>
      </c>
    </row>
    <row r="39" spans="1:12" ht="25.5" x14ac:dyDescent="0.25">
      <c r="A39" s="2" t="s">
        <v>204</v>
      </c>
      <c r="B39" s="3" t="s">
        <v>200</v>
      </c>
      <c r="C39" s="3" t="s">
        <v>205</v>
      </c>
      <c r="D39" s="2" t="s">
        <v>68</v>
      </c>
      <c r="E39" s="2" t="s">
        <v>17</v>
      </c>
      <c r="F39" s="3" t="s">
        <v>206</v>
      </c>
      <c r="G39" s="3" t="s">
        <v>207</v>
      </c>
      <c r="H39" s="3" t="s">
        <v>106</v>
      </c>
      <c r="I39" s="3" t="s">
        <v>208</v>
      </c>
      <c r="J39" t="s">
        <v>318</v>
      </c>
      <c r="K39" s="2" t="s">
        <v>247</v>
      </c>
      <c r="L39" s="3" t="s">
        <v>319</v>
      </c>
    </row>
    <row r="40" spans="1:12" ht="25.5" x14ac:dyDescent="0.25">
      <c r="A40" s="2" t="s">
        <v>209</v>
      </c>
      <c r="B40" s="3" t="s">
        <v>200</v>
      </c>
      <c r="C40" s="3" t="s">
        <v>210</v>
      </c>
      <c r="D40" s="2" t="s">
        <v>68</v>
      </c>
      <c r="E40" s="2" t="s">
        <v>17</v>
      </c>
      <c r="F40" s="3" t="s">
        <v>211</v>
      </c>
      <c r="G40" s="3" t="s">
        <v>212</v>
      </c>
      <c r="H40" s="3" t="s">
        <v>213</v>
      </c>
      <c r="I40" s="3" t="s">
        <v>214</v>
      </c>
      <c r="J40" s="14" t="s">
        <v>320</v>
      </c>
      <c r="K40" s="2" t="s">
        <v>247</v>
      </c>
      <c r="L40" s="3" t="s">
        <v>303</v>
      </c>
    </row>
    <row r="41" spans="1:12" ht="25.5" x14ac:dyDescent="0.25">
      <c r="A41" s="2" t="s">
        <v>215</v>
      </c>
      <c r="B41" s="3" t="s">
        <v>200</v>
      </c>
      <c r="C41" s="3" t="s">
        <v>216</v>
      </c>
      <c r="D41" s="2" t="s">
        <v>86</v>
      </c>
      <c r="E41" s="2" t="s">
        <v>47</v>
      </c>
      <c r="F41" s="3" t="s">
        <v>217</v>
      </c>
      <c r="G41" s="3" t="s">
        <v>218</v>
      </c>
      <c r="H41" s="3" t="s">
        <v>20</v>
      </c>
      <c r="I41" s="3" t="s">
        <v>219</v>
      </c>
      <c r="J41" t="s">
        <v>321</v>
      </c>
      <c r="K41" s="2" t="s">
        <v>247</v>
      </c>
      <c r="L41" s="3" t="s">
        <v>303</v>
      </c>
    </row>
    <row r="42" spans="1:12" ht="25.5" x14ac:dyDescent="0.25">
      <c r="A42" s="2" t="s">
        <v>220</v>
      </c>
      <c r="B42" s="3" t="s">
        <v>221</v>
      </c>
      <c r="C42" s="3" t="s">
        <v>222</v>
      </c>
      <c r="D42" s="2" t="s">
        <v>223</v>
      </c>
      <c r="E42" s="2" t="s">
        <v>17</v>
      </c>
      <c r="F42" s="3" t="s">
        <v>224</v>
      </c>
      <c r="G42" s="3" t="s">
        <v>225</v>
      </c>
      <c r="H42" s="3" t="s">
        <v>226</v>
      </c>
      <c r="I42" s="3" t="s">
        <v>227</v>
      </c>
      <c r="J42" t="s">
        <v>321</v>
      </c>
      <c r="K42" s="2" t="s">
        <v>247</v>
      </c>
      <c r="L42" s="3" t="s">
        <v>303</v>
      </c>
    </row>
    <row r="43" spans="1:12" ht="25.5" x14ac:dyDescent="0.25">
      <c r="A43" s="2" t="s">
        <v>228</v>
      </c>
      <c r="B43" s="3" t="s">
        <v>221</v>
      </c>
      <c r="C43" s="3" t="s">
        <v>229</v>
      </c>
      <c r="D43" s="2" t="s">
        <v>223</v>
      </c>
      <c r="E43" s="2" t="s">
        <v>47</v>
      </c>
      <c r="F43" s="3" t="s">
        <v>230</v>
      </c>
      <c r="G43" s="3" t="s">
        <v>225</v>
      </c>
      <c r="H43" s="3" t="s">
        <v>231</v>
      </c>
      <c r="I43" s="3" t="s">
        <v>227</v>
      </c>
      <c r="J43" s="13" t="s">
        <v>322</v>
      </c>
      <c r="K43" s="2" t="s">
        <v>247</v>
      </c>
      <c r="L43" s="3" t="s">
        <v>323</v>
      </c>
    </row>
    <row r="44" spans="1:12" ht="25.5" x14ac:dyDescent="0.25">
      <c r="A44" s="2" t="s">
        <v>232</v>
      </c>
      <c r="B44" s="3" t="s">
        <v>221</v>
      </c>
      <c r="C44" s="3" t="s">
        <v>233</v>
      </c>
      <c r="D44" s="2" t="s">
        <v>223</v>
      </c>
      <c r="E44" s="2" t="s">
        <v>17</v>
      </c>
      <c r="F44" s="3" t="s">
        <v>234</v>
      </c>
      <c r="G44" s="3" t="s">
        <v>235</v>
      </c>
      <c r="H44" s="3" t="s">
        <v>236</v>
      </c>
      <c r="I44" s="3" t="s">
        <v>237</v>
      </c>
      <c r="J44" t="s">
        <v>324</v>
      </c>
      <c r="K44" s="2" t="s">
        <v>247</v>
      </c>
      <c r="L44" s="3" t="s">
        <v>325</v>
      </c>
    </row>
    <row r="45" spans="1:12" ht="25.5" x14ac:dyDescent="0.25">
      <c r="A45" s="2" t="s">
        <v>238</v>
      </c>
      <c r="B45" s="3" t="s">
        <v>221</v>
      </c>
      <c r="C45" s="3" t="s">
        <v>239</v>
      </c>
      <c r="D45" s="2" t="s">
        <v>57</v>
      </c>
      <c r="E45" s="2" t="s">
        <v>75</v>
      </c>
      <c r="F45" s="3" t="s">
        <v>240</v>
      </c>
      <c r="G45" s="3" t="s">
        <v>241</v>
      </c>
      <c r="H45" s="3" t="s">
        <v>106</v>
      </c>
      <c r="I45" s="3" t="s">
        <v>242</v>
      </c>
      <c r="J45" t="s">
        <v>326</v>
      </c>
      <c r="K45" s="2" t="s">
        <v>247</v>
      </c>
      <c r="L45" s="3" t="s">
        <v>327</v>
      </c>
    </row>
  </sheetData>
  <autoFilter ref="A2:L45" xr:uid="{00000000-0009-0000-0000-000000000000}"/>
  <mergeCells count="1">
    <mergeCell ref="A1:L1"/>
  </mergeCells>
  <conditionalFormatting sqref="K3:K45">
    <cfRule type="cellIs" dxfId="2" priority="2" operator="equal">
      <formula>"Pass"</formula>
    </cfRule>
    <cfRule type="cellIs" dxfId="1" priority="3" operator="equal">
      <formula>"Fail"</formula>
    </cfRule>
    <cfRule type="cellIs" dxfId="0" priority="4" operator="equal">
      <formula>"Blocked"</formula>
    </cfRule>
  </conditionalFormatting>
  <dataValidations count="1">
    <dataValidation type="list" sqref="K3:K45" xr:uid="{00000000-0002-0000-0000-000000000000}">
      <formula1>"Pass,Fail,Blocked,Not Run"</formula1>
      <formula2>0</formula2>
    </dataValidation>
  </dataValidations>
  <hyperlinks>
    <hyperlink ref="J40" r:id="rId1" display="https://www.saucedemo.com/inventory.html" xr:uid="{DEB5479F-37B4-4DCE-90D5-6B7CDA431A28}"/>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heetViews>
  <sheetFormatPr defaultColWidth="8.7109375" defaultRowHeight="15" x14ac:dyDescent="0.25"/>
  <cols>
    <col min="1" max="1" width="28" customWidth="1"/>
    <col min="2" max="3" width="14" customWidth="1"/>
  </cols>
  <sheetData>
    <row r="1" spans="1:3" ht="18" x14ac:dyDescent="0.25">
      <c r="A1" s="4" t="s">
        <v>243</v>
      </c>
    </row>
    <row r="2" spans="1:3" x14ac:dyDescent="0.25">
      <c r="A2" s="5" t="s">
        <v>244</v>
      </c>
    </row>
    <row r="4" spans="1:3" x14ac:dyDescent="0.25">
      <c r="A4" s="6" t="s">
        <v>11</v>
      </c>
      <c r="B4" s="6" t="s">
        <v>245</v>
      </c>
      <c r="C4" s="6" t="s">
        <v>246</v>
      </c>
    </row>
    <row r="5" spans="1:3" x14ac:dyDescent="0.25">
      <c r="A5" s="7" t="s">
        <v>247</v>
      </c>
      <c r="B5" s="7">
        <f>COUNTIF('Test Cases'!$K$3:$K$45,A5)</f>
        <v>41</v>
      </c>
      <c r="C5" s="8">
        <f>IF($B$9=0,0,B5/$B$9)</f>
        <v>0.97619047619047616</v>
      </c>
    </row>
    <row r="6" spans="1:3" x14ac:dyDescent="0.25">
      <c r="A6" s="7" t="s">
        <v>248</v>
      </c>
      <c r="B6" s="7">
        <f>COUNTIF('Test Cases'!$K$3:$K$45,A6)</f>
        <v>1</v>
      </c>
      <c r="C6" s="8">
        <f>IF($B$9=0,0,B6/$B$9)</f>
        <v>2.3809523809523808E-2</v>
      </c>
    </row>
    <row r="7" spans="1:3" x14ac:dyDescent="0.25">
      <c r="A7" s="7" t="s">
        <v>249</v>
      </c>
      <c r="B7" s="7">
        <f>COUNTIF('Test Cases'!$K$3:$K$45,A7)</f>
        <v>0</v>
      </c>
      <c r="C7" s="8">
        <f>IF($B$9=0,0,B7/$B$9)</f>
        <v>0</v>
      </c>
    </row>
    <row r="8" spans="1:3" x14ac:dyDescent="0.25">
      <c r="A8" s="7" t="s">
        <v>22</v>
      </c>
      <c r="B8" s="7">
        <f>COUNTIF('Test Cases'!$K$3:$K$45,A8)</f>
        <v>0</v>
      </c>
      <c r="C8" s="8">
        <f>IF($B$9=0,0,B8/$B$9)</f>
        <v>0</v>
      </c>
    </row>
    <row r="9" spans="1:3" x14ac:dyDescent="0.25">
      <c r="A9" s="9" t="s">
        <v>250</v>
      </c>
      <c r="B9" s="9">
        <f>SUM(B5:B8)</f>
        <v>42</v>
      </c>
      <c r="C9" s="10">
        <f>SUM(C5:C8)</f>
        <v>1</v>
      </c>
    </row>
    <row r="11" spans="1:3" x14ac:dyDescent="0.25">
      <c r="A11" s="6" t="s">
        <v>2</v>
      </c>
      <c r="B11" s="6" t="s">
        <v>251</v>
      </c>
      <c r="C11" s="6" t="s">
        <v>252</v>
      </c>
    </row>
    <row r="12" spans="1:3" x14ac:dyDescent="0.25">
      <c r="A12" s="7" t="s">
        <v>14</v>
      </c>
      <c r="B12" s="7">
        <f>COUNTIF('Test Cases'!$B$3:$B$45,A12)</f>
        <v>14</v>
      </c>
      <c r="C12" s="7">
        <f>COUNTIFS('Test Cases'!$B$3:$B$45,A12,'Test Cases'!$K$3:$K$45,"Pass")</f>
        <v>14</v>
      </c>
    </row>
    <row r="13" spans="1:3" x14ac:dyDescent="0.25">
      <c r="A13" s="7" t="s">
        <v>97</v>
      </c>
      <c r="B13" s="7">
        <f>COUNTIF('Test Cases'!$B$3:$B$45,A13)</f>
        <v>9</v>
      </c>
      <c r="C13" s="7">
        <f>COUNTIFS('Test Cases'!$B$3:$B$45,A13,'Test Cases'!$K$3:$K$45,"Pass")</f>
        <v>8</v>
      </c>
    </row>
    <row r="14" spans="1:3" x14ac:dyDescent="0.25">
      <c r="A14" s="7" t="s">
        <v>141</v>
      </c>
      <c r="B14" s="7">
        <f>COUNTIF('Test Cases'!$B$3:$B$45,A14)</f>
        <v>5</v>
      </c>
      <c r="C14" s="7">
        <f>COUNTIFS('Test Cases'!$B$3:$B$45,A14,'Test Cases'!$K$3:$K$45,"Pass")</f>
        <v>4</v>
      </c>
    </row>
    <row r="15" spans="1:3" x14ac:dyDescent="0.25">
      <c r="A15" s="7" t="s">
        <v>166</v>
      </c>
      <c r="B15" s="7">
        <f>COUNTIF('Test Cases'!$B$3:$B$45,A15)</f>
        <v>7</v>
      </c>
      <c r="C15" s="7">
        <f>COUNTIFS('Test Cases'!$B$3:$B$45,A15,'Test Cases'!$K$3:$K$45,"Pass")</f>
        <v>7</v>
      </c>
    </row>
    <row r="16" spans="1:3" x14ac:dyDescent="0.25">
      <c r="A16" s="7" t="s">
        <v>200</v>
      </c>
      <c r="B16" s="7">
        <f>COUNTIF('Test Cases'!$B$3:$B$45,A16)</f>
        <v>4</v>
      </c>
      <c r="C16" s="7">
        <f>COUNTIFS('Test Cases'!$B$3:$B$45,A16,'Test Cases'!$K$3:$K$45,"Pass")</f>
        <v>4</v>
      </c>
    </row>
    <row r="17" spans="1:3" x14ac:dyDescent="0.25">
      <c r="A17" s="7" t="s">
        <v>221</v>
      </c>
      <c r="B17" s="7">
        <f>COUNTIF('Test Cases'!$B$3:$B$45,A17)</f>
        <v>4</v>
      </c>
      <c r="C17" s="7">
        <f>COUNTIFS('Test Cases'!$B$3:$B$45,A17,'Test Cases'!$K$3:$K$45,"Pass")</f>
        <v>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zoomScaleNormal="100" workbookViewId="0"/>
  </sheetViews>
  <sheetFormatPr defaultColWidth="8.7109375" defaultRowHeight="15" x14ac:dyDescent="0.25"/>
  <cols>
    <col min="1" max="1" width="24" customWidth="1"/>
    <col min="2" max="2" width="70" customWidth="1"/>
  </cols>
  <sheetData>
    <row r="1" spans="1:2" x14ac:dyDescent="0.25">
      <c r="A1" s="11" t="s">
        <v>2</v>
      </c>
      <c r="B1" s="11" t="s">
        <v>253</v>
      </c>
    </row>
    <row r="2" spans="1:2" x14ac:dyDescent="0.25">
      <c r="A2" s="12" t="s">
        <v>254</v>
      </c>
      <c r="B2" s="12" t="s">
        <v>255</v>
      </c>
    </row>
    <row r="3" spans="1:2" x14ac:dyDescent="0.25">
      <c r="A3" s="12" t="s">
        <v>256</v>
      </c>
      <c r="B3" s="12" t="s">
        <v>257</v>
      </c>
    </row>
    <row r="4" spans="1:2" x14ac:dyDescent="0.25">
      <c r="A4" s="12" t="s">
        <v>258</v>
      </c>
      <c r="B4" s="12" t="s">
        <v>259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Not Applicable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Manahil Shahzadi</cp:lastModifiedBy>
  <cp:revision>0</cp:revision>
  <dcterms:created xsi:type="dcterms:W3CDTF">2026-10-12T15:02:25Z</dcterms:created>
  <dcterms:modified xsi:type="dcterms:W3CDTF">2026-10-24T02:17:56Z</dcterms:modified>
  <dc:language>en-US</dc:language>
</cp:coreProperties>
</file>